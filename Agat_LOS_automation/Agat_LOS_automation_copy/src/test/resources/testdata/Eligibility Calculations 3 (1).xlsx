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working\waccache\PN1PEPF0000775B\EXCELCNV\476fd5d3-9744-4062-b22e-6b30d035011b\"/>
    </mc:Choice>
  </mc:AlternateContent>
  <xr:revisionPtr revIDLastSave="0" documentId="8_{01CB304E-08D5-48C8-84CF-4ABFCF0DFCF9}" xr6:coauthVersionLast="47" xr6:coauthVersionMax="47" xr10:uidLastSave="{00000000-0000-0000-0000-000000000000}"/>
  <bookViews>
    <workbookView xWindow="-60" yWindow="-60" windowWidth="15480" windowHeight="11640" tabRatio="500" firstSheet="1" activeTab="1" xr2:uid="{00000000-000D-0000-FFFF-FFFF00000000}"/>
  </bookViews>
  <sheets>
    <sheet name="Product Hierarchy" sheetId="1" r:id="rId1"/>
    <sheet name="Eligibility" sheetId="2" r:id="rId2"/>
    <sheet name="Sheet3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4" i="2" l="1"/>
  <c r="I14" i="2"/>
  <c r="H14" i="2"/>
  <c r="K14" i="2"/>
  <c r="M14" i="2"/>
  <c r="N7" i="2"/>
  <c r="K31" i="2"/>
  <c r="M28" i="2"/>
  <c r="N31" i="2"/>
  <c r="M31" i="2"/>
  <c r="K28" i="2"/>
  <c r="N28" i="2"/>
  <c r="H4" i="2"/>
  <c r="I4" i="2" s="1"/>
  <c r="H3" i="2"/>
  <c r="K3" i="2" s="1"/>
</calcChain>
</file>

<file path=xl/sharedStrings.xml><?xml version="1.0" encoding="utf-8"?>
<sst xmlns="http://schemas.openxmlformats.org/spreadsheetml/2006/main" count="79" uniqueCount="50">
  <si>
    <t>Product</t>
  </si>
  <si>
    <t>Sub Product</t>
  </si>
  <si>
    <t>Micro Loan</t>
  </si>
  <si>
    <t>Micro Credit</t>
  </si>
  <si>
    <t>Credit</t>
  </si>
  <si>
    <t>Self Employed/Individual Business</t>
  </si>
  <si>
    <t>RINOK</t>
  </si>
  <si>
    <t>credit summA</t>
  </si>
  <si>
    <t>UCHET VNE BALAN</t>
  </si>
  <si>
    <t>Asset Type</t>
  </si>
  <si>
    <t>Loan Requested Amount</t>
  </si>
  <si>
    <t>Offer by Underwriter</t>
  </si>
  <si>
    <t>Market Price</t>
  </si>
  <si>
    <t>Valuation Price</t>
  </si>
  <si>
    <t>LTV</t>
  </si>
  <si>
    <t>Max Collateral Amount (Market Price * LTV)</t>
  </si>
  <si>
    <t>Required Collateral Allocated Amount</t>
  </si>
  <si>
    <t>Car</t>
  </si>
  <si>
    <t>Real Estate</t>
  </si>
  <si>
    <t>Required Collateral Amount must be &lt; Max Collateral Amount</t>
  </si>
  <si>
    <t>Monthly Income</t>
  </si>
  <si>
    <t>Valuation Price is treated as Market Price</t>
  </si>
  <si>
    <t>Current Loan Instalment</t>
  </si>
  <si>
    <t>application creation emi.Ongoing application</t>
  </si>
  <si>
    <t>Other Loan Obligations</t>
  </si>
  <si>
    <t>Loan Officer cannot process application ahead if Required Colllareral Allocated Amount is not met.</t>
  </si>
  <si>
    <t>Total Obligations</t>
  </si>
  <si>
    <t>keep blank</t>
  </si>
  <si>
    <t>Underwriter can reduce the offer amount lesser than requested amount if there is any susipicion or ask for another collateral</t>
  </si>
  <si>
    <t>Monthly Expenses</t>
  </si>
  <si>
    <t>expense</t>
  </si>
  <si>
    <t>Net Income</t>
  </si>
  <si>
    <t>auto</t>
  </si>
  <si>
    <t>Salaried</t>
  </si>
  <si>
    <t>ariza summa</t>
  </si>
  <si>
    <t>daxod</t>
  </si>
  <si>
    <t>credit tolovi</t>
  </si>
  <si>
    <t>jami majburiyati</t>
  </si>
  <si>
    <t>jami majburiyat</t>
  </si>
  <si>
    <t>Net Disposable Income</t>
  </si>
  <si>
    <t>DTI</t>
  </si>
  <si>
    <t>Current DTI</t>
  </si>
  <si>
    <t>New DTI</t>
  </si>
  <si>
    <t>—</t>
  </si>
  <si>
    <t>DTI must not be more than 50% on monthly income</t>
  </si>
  <si>
    <t>No Expenses are considered</t>
  </si>
  <si>
    <t>If collateral is needed for Salaried then final offer amount is based on LOWER of the Collateral Based Offer Criteria and Income based Offer Criteria.</t>
  </si>
  <si>
    <t>DTI should be configrable at scheme</t>
  </si>
  <si>
    <t>Max DTI sholud be configurable and need to define</t>
  </si>
  <si>
    <t xml:space="preserve">APPL_001_NEW_114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</si>
</sst>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9"/>
      <color rgb="FF212529"/>
      <name val="Poppins"/>
      <family val="2"/>
      <charset val="1"/>
    </font>
    <font>
      <sz val="10"/>
      <color rgb="FF000000"/>
      <name val="Segoe WPC"/>
      <charset val="1"/>
    </font>
    <font>
      <b/>
      <sz val="9"/>
      <color rgb="FF000000"/>
      <name val="Poppins"/>
      <family val="2"/>
      <charset val="1"/>
    </font>
    <font>
      <sz val="10"/>
      <color rgb="FFBFBFBF"/>
      <name val="Segoe WPC"/>
      <charset val="1"/>
    </font>
    <font>
      <sz val="10"/>
      <color theme="1"/>
      <name val="Segoe WPC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rgb="FFCC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 applyBorder="0" applyProtection="0"/>
    <xf numFmtId="9" fontId="2" fillId="0" borderId="0" applyBorder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1" applyFont="1" applyBorder="1" applyProtection="1"/>
    <xf numFmtId="9" fontId="0" fillId="0" borderId="0" xfId="0" applyNumberFormat="1"/>
    <xf numFmtId="0" fontId="0" fillId="2" borderId="0" xfId="0" applyFill="1"/>
    <xf numFmtId="164" fontId="0" fillId="0" borderId="0" xfId="0" applyNumberFormat="1"/>
    <xf numFmtId="9" fontId="0" fillId="0" borderId="0" xfId="2" applyFont="1" applyBorder="1" applyProtection="1"/>
    <xf numFmtId="4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4" fillId="3" borderId="1" xfId="0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9" fontId="4" fillId="3" borderId="1" xfId="0" applyNumberFormat="1" applyFont="1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/>
    <xf numFmtId="2" fontId="0" fillId="0" borderId="0" xfId="2" applyNumberFormat="1" applyFont="1" applyBorder="1" applyProtection="1"/>
    <xf numFmtId="4" fontId="5" fillId="0" borderId="0" xfId="0" applyNumberFormat="1" applyFont="1" applyAlignment="1">
      <alignment wrapText="1"/>
    </xf>
    <xf numFmtId="3" fontId="6" fillId="0" borderId="0" xfId="0" applyNumberFormat="1" applyFont="1"/>
    <xf numFmtId="3" fontId="7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40E0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"/>
  <sheetViews>
    <sheetView zoomScaleNormal="100" workbookViewId="0">
      <selection activeCell="C2" sqref="C2"/>
    </sheetView>
  </sheetViews>
  <sheetFormatPr defaultColWidth="8.85546875" defaultRowHeight="15"/>
  <cols>
    <col min="2" max="2" width="26.140625" customWidth="1"/>
    <col min="3" max="3" width="20.85546875" customWidth="1"/>
    <col min="4" max="4" width="28.28515625" customWidth="1"/>
  </cols>
  <sheetData>
    <row r="1" spans="2:3">
      <c r="B1" t="s">
        <v>0</v>
      </c>
      <c r="C1" t="s">
        <v>1</v>
      </c>
    </row>
    <row r="2" spans="2:3">
      <c r="B2" t="s">
        <v>2</v>
      </c>
    </row>
    <row r="5" spans="2:3">
      <c r="B5" t="s">
        <v>3</v>
      </c>
    </row>
    <row r="9" spans="2:3">
      <c r="B9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topLeftCell="F8" zoomScaleNormal="100" workbookViewId="0">
      <selection activeCell="M14" sqref="M14"/>
    </sheetView>
  </sheetViews>
  <sheetFormatPr defaultColWidth="8.85546875" defaultRowHeight="15"/>
  <cols>
    <col min="1" max="1" width="19.5703125" customWidth="1"/>
    <col min="2" max="3" width="18.140625" customWidth="1"/>
    <col min="4" max="4" width="22.7109375" customWidth="1"/>
    <col min="5" max="5" width="25.7109375" customWidth="1"/>
    <col min="6" max="6" width="17.28515625" customWidth="1"/>
    <col min="7" max="7" width="16.85546875" customWidth="1"/>
    <col min="8" max="8" width="23.28515625" customWidth="1"/>
    <col min="9" max="9" width="41.5703125" customWidth="1"/>
    <col min="10" max="10" width="12.85546875" customWidth="1"/>
    <col min="13" max="13" width="17.140625" style="15" customWidth="1"/>
    <col min="14" max="14" width="23.28515625" style="15" customWidth="1"/>
    <col min="17" max="17" width="10.7109375" bestFit="1" customWidth="1"/>
    <col min="19" max="19" width="8.85546875" bestFit="1" customWidth="1"/>
    <col min="20" max="20" width="25.7109375" customWidth="1"/>
    <col min="21" max="21" width="19.28515625" customWidth="1"/>
  </cols>
  <sheetData>
    <row r="1" spans="1:21">
      <c r="A1" s="1" t="s">
        <v>5</v>
      </c>
      <c r="E1" t="s">
        <v>6</v>
      </c>
      <c r="H1" t="s">
        <v>7</v>
      </c>
      <c r="I1" t="s">
        <v>8</v>
      </c>
    </row>
    <row r="2" spans="1:21" s="3" customFormat="1" ht="29.25">
      <c r="A2" s="2" t="s">
        <v>9</v>
      </c>
      <c r="B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M2" s="16"/>
      <c r="N2" s="16"/>
    </row>
    <row r="3" spans="1:21">
      <c r="A3" t="s">
        <v>17</v>
      </c>
      <c r="B3" s="4">
        <v>100</v>
      </c>
      <c r="E3">
        <v>300</v>
      </c>
      <c r="F3">
        <v>300</v>
      </c>
      <c r="G3" s="5">
        <v>0.5</v>
      </c>
      <c r="H3" s="6">
        <f>F3*G3</f>
        <v>150</v>
      </c>
      <c r="I3" s="7" t="e">
        <v>#VALUE!</v>
      </c>
      <c r="K3">
        <f>H3*125%</f>
        <v>187.5</v>
      </c>
    </row>
    <row r="4" spans="1:21">
      <c r="A4" t="s">
        <v>18</v>
      </c>
      <c r="E4">
        <v>300</v>
      </c>
      <c r="F4">
        <v>300</v>
      </c>
      <c r="G4" s="5">
        <v>0.75</v>
      </c>
      <c r="H4">
        <f>F4*G4</f>
        <v>225</v>
      </c>
      <c r="I4">
        <f>H4*125%</f>
        <v>281.25</v>
      </c>
    </row>
    <row r="5" spans="1:21" ht="14.25">
      <c r="T5" s="12" t="s">
        <v>10</v>
      </c>
      <c r="U5" s="13">
        <v>35000</v>
      </c>
    </row>
    <row r="6" spans="1:21" ht="14.25">
      <c r="D6" t="s">
        <v>19</v>
      </c>
      <c r="T6" s="12" t="s">
        <v>20</v>
      </c>
      <c r="U6" s="13">
        <v>250000</v>
      </c>
    </row>
    <row r="7" spans="1:21" ht="41.25">
      <c r="D7" t="s">
        <v>21</v>
      </c>
      <c r="N7" s="15">
        <f>79998000+200000</f>
        <v>80198000</v>
      </c>
      <c r="T7" s="12" t="s">
        <v>22</v>
      </c>
      <c r="U7" s="12" t="s">
        <v>23</v>
      </c>
    </row>
    <row r="8" spans="1:21">
      <c r="T8" s="12" t="s">
        <v>24</v>
      </c>
      <c r="U8" s="12"/>
    </row>
    <row r="9" spans="1:21">
      <c r="D9" t="s">
        <v>25</v>
      </c>
      <c r="T9" s="12" t="s">
        <v>26</v>
      </c>
      <c r="U9" s="13" t="s">
        <v>27</v>
      </c>
    </row>
    <row r="10" spans="1:21">
      <c r="D10" t="s">
        <v>28</v>
      </c>
      <c r="T10" s="12" t="s">
        <v>29</v>
      </c>
      <c r="U10" s="13" t="s">
        <v>30</v>
      </c>
    </row>
    <row r="11" spans="1:21">
      <c r="T11" s="12" t="s">
        <v>31</v>
      </c>
      <c r="U11" s="13" t="s">
        <v>32</v>
      </c>
    </row>
    <row r="12" spans="1:21">
      <c r="A12" s="1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T12" s="12" t="s">
        <v>39</v>
      </c>
      <c r="U12" s="13" t="s">
        <v>32</v>
      </c>
    </row>
    <row r="13" spans="1:21" ht="29.25">
      <c r="B13" s="2" t="s">
        <v>10</v>
      </c>
      <c r="C13" s="2" t="s">
        <v>20</v>
      </c>
      <c r="D13" s="1" t="s">
        <v>22</v>
      </c>
      <c r="E13" s="1" t="s">
        <v>24</v>
      </c>
      <c r="F13" s="1" t="s">
        <v>26</v>
      </c>
      <c r="G13" s="1" t="s">
        <v>29</v>
      </c>
      <c r="H13" s="1" t="s">
        <v>31</v>
      </c>
      <c r="I13" s="2" t="s">
        <v>39</v>
      </c>
      <c r="J13" s="2" t="s">
        <v>11</v>
      </c>
      <c r="K13" s="1" t="s">
        <v>40</v>
      </c>
      <c r="M13" s="17" t="s">
        <v>41</v>
      </c>
      <c r="N13" s="17" t="s">
        <v>42</v>
      </c>
      <c r="T13" s="12" t="s">
        <v>11</v>
      </c>
      <c r="U13" s="12" t="s">
        <v>43</v>
      </c>
    </row>
    <row r="14" spans="1:21" ht="19.5">
      <c r="B14" s="19">
        <v>99000000</v>
      </c>
      <c r="C14" s="21">
        <v>125000000</v>
      </c>
      <c r="D14" s="9">
        <v>6257735.9400000004</v>
      </c>
      <c r="E14" s="9">
        <v>3400</v>
      </c>
      <c r="F14" s="9"/>
      <c r="G14" s="20">
        <v>1000000</v>
      </c>
      <c r="H14" s="11">
        <f>C14-E14</f>
        <v>124996600</v>
      </c>
      <c r="I14" s="7">
        <f>H14*50%</f>
        <v>62498300</v>
      </c>
      <c r="K14" s="8">
        <f>F14/C14</f>
        <v>0</v>
      </c>
      <c r="M14" s="18">
        <f>(G14+E14)/C14*100</f>
        <v>0.80271999999999999</v>
      </c>
      <c r="N14" s="18">
        <f>(G14+E14+D14)/C14*100</f>
        <v>5.8089087520000007</v>
      </c>
      <c r="T14" s="12" t="s">
        <v>40</v>
      </c>
      <c r="U14" s="14" t="s">
        <v>32</v>
      </c>
    </row>
    <row r="15" spans="1:21">
      <c r="T15" s="12" t="s">
        <v>41</v>
      </c>
      <c r="U15" s="12" t="s">
        <v>32</v>
      </c>
    </row>
    <row r="16" spans="1:21">
      <c r="D16" t="s">
        <v>44</v>
      </c>
      <c r="T16" s="12" t="s">
        <v>42</v>
      </c>
      <c r="U16" s="12" t="s">
        <v>32</v>
      </c>
    </row>
    <row r="17" spans="3:14">
      <c r="D17" t="s">
        <v>45</v>
      </c>
    </row>
    <row r="19" spans="3:14">
      <c r="D19" t="s">
        <v>46</v>
      </c>
    </row>
    <row r="22" spans="3:14" ht="30">
      <c r="D22">
        <v>1</v>
      </c>
      <c r="E22" s="3" t="s">
        <v>47</v>
      </c>
    </row>
    <row r="23" spans="3:14">
      <c r="D23">
        <v>2</v>
      </c>
    </row>
    <row r="24" spans="3:14" ht="45">
      <c r="D24">
        <v>3</v>
      </c>
      <c r="E24" s="3" t="s">
        <v>48</v>
      </c>
    </row>
    <row r="26" spans="3:14" ht="29.25">
      <c r="G26" s="3" t="s">
        <v>49</v>
      </c>
    </row>
    <row r="27" spans="3:14" ht="45">
      <c r="C27" s="2" t="s">
        <v>20</v>
      </c>
      <c r="D27" s="1" t="s">
        <v>22</v>
      </c>
      <c r="E27" s="1" t="s">
        <v>24</v>
      </c>
      <c r="F27" s="1" t="s">
        <v>26</v>
      </c>
      <c r="G27" s="1" t="s">
        <v>29</v>
      </c>
      <c r="H27" s="1" t="s">
        <v>31</v>
      </c>
      <c r="I27" s="2" t="s">
        <v>39</v>
      </c>
      <c r="J27" s="2" t="s">
        <v>11</v>
      </c>
      <c r="K27" s="1" t="s">
        <v>40</v>
      </c>
      <c r="M27" s="17" t="s">
        <v>41</v>
      </c>
      <c r="N27" s="17" t="s">
        <v>42</v>
      </c>
    </row>
    <row r="28" spans="3:14" ht="19.5">
      <c r="C28" s="11">
        <v>10000000</v>
      </c>
      <c r="D28">
        <v>0</v>
      </c>
      <c r="E28">
        <v>0</v>
      </c>
      <c r="F28">
        <v>100</v>
      </c>
      <c r="G28" s="10">
        <v>0</v>
      </c>
      <c r="H28" s="11">
        <v>10000000</v>
      </c>
      <c r="I28" s="7">
        <v>0</v>
      </c>
      <c r="K28" s="8">
        <f>F28/C28</f>
        <v>1.0000000000000001E-5</v>
      </c>
      <c r="M28" s="18">
        <f>(G28+E28)/C28</f>
        <v>0</v>
      </c>
      <c r="N28" s="18">
        <f>(G28+E28+D28)/C28</f>
        <v>0</v>
      </c>
    </row>
    <row r="31" spans="3:14" ht="19.5">
      <c r="C31" s="11">
        <v>10000000</v>
      </c>
      <c r="D31" s="9">
        <v>0</v>
      </c>
      <c r="E31">
        <v>0</v>
      </c>
      <c r="F31">
        <v>0</v>
      </c>
      <c r="G31" s="11">
        <v>1000</v>
      </c>
      <c r="H31" s="11">
        <v>10000000</v>
      </c>
      <c r="I31" s="7">
        <v>88</v>
      </c>
      <c r="K31" s="8">
        <f>F31/C31</f>
        <v>0</v>
      </c>
      <c r="M31" s="18">
        <f>(G31+E31)/C31</f>
        <v>1E-4</v>
      </c>
      <c r="N31" s="18">
        <f>(G31+E31+D31)/C31</f>
        <v>1E-4</v>
      </c>
    </row>
    <row r="34" spans="9:9">
      <c r="I34" s="3">
        <v>120762423.3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85546875" defaultRowHeight="15"/>
  <sheetData/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9564cd-d90b-4ee5-8724-b3c6afdb8848" xsi:nil="true"/>
    <lcf76f155ced4ddcb4097134ff3c332f xmlns="3d94aaf1-6a9c-453a-99e7-3bdb48fe5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02D0DE-FDCD-4A19-AFCB-66A931BB7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Thapar</dc:creator>
  <cp:keywords/>
  <dc:description/>
  <cp:lastModifiedBy/>
  <cp:revision>9</cp:revision>
  <dcterms:created xsi:type="dcterms:W3CDTF">2025-11-14T07:33:37Z</dcterms:created>
  <dcterms:modified xsi:type="dcterms:W3CDTF">2026-07-29T06:06:29Z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0x0101008A085AA64B5E1B479C1A719552CC03CD</vt:lpwstr>
  </property>
  <property fmtid="{D5CDD505-2E9C-101B-9397-08002B2CF9AE}" pid="3" name="MediaServiceImageTags">
    <vt:lpwstr/>
  </property>
</Properties>
</file>